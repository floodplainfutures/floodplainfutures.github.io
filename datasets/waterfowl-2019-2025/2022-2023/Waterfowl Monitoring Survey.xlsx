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entz\Documents\"/>
    </mc:Choice>
  </mc:AlternateContent>
  <xr:revisionPtr revIDLastSave="0" documentId="13_ncr:1_{76D7E0E6-815C-445B-BE29-482E5975A3FD}" xr6:coauthVersionLast="47" xr6:coauthVersionMax="47" xr10:uidLastSave="{00000000-0000-0000-0000-000000000000}"/>
  <bookViews>
    <workbookView xWindow="-120" yWindow="-120" windowWidth="19440" windowHeight="15000" activeTab="4" xr2:uid="{2326EF82-0BBE-478C-9860-9EC8A0E1D70D}"/>
  </bookViews>
  <sheets>
    <sheet name="12.29.22" sheetId="1" r:id="rId1"/>
    <sheet name="1.27.23" sheetId="2" r:id="rId2"/>
    <sheet name="2.2.23" sheetId="3" r:id="rId3"/>
    <sheet name="2.9.23" sheetId="4" r:id="rId4"/>
    <sheet name="2.16.23" sheetId="5" r:id="rId5"/>
    <sheet name="2.23.2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6" l="1"/>
  <c r="C54" i="5"/>
  <c r="C65" i="4"/>
  <c r="C65" i="3"/>
  <c r="C63" i="2"/>
  <c r="C42" i="1"/>
</calcChain>
</file>

<file path=xl/sharedStrings.xml><?xml version="1.0" encoding="utf-8"?>
<sst xmlns="http://schemas.openxmlformats.org/spreadsheetml/2006/main" count="372" uniqueCount="62">
  <si>
    <t>Survey Point</t>
  </si>
  <si>
    <t>Species</t>
  </si>
  <si>
    <t>Count</t>
  </si>
  <si>
    <t>NOPI</t>
  </si>
  <si>
    <t>NSHO</t>
  </si>
  <si>
    <t>CITE</t>
  </si>
  <si>
    <t>GWTE</t>
  </si>
  <si>
    <t>GADW</t>
  </si>
  <si>
    <t>SCAU</t>
  </si>
  <si>
    <t>BUFF</t>
  </si>
  <si>
    <t>MALL</t>
  </si>
  <si>
    <t>GWFG</t>
  </si>
  <si>
    <t>AMWI</t>
  </si>
  <si>
    <t>AMCO</t>
  </si>
  <si>
    <t>SNGO</t>
  </si>
  <si>
    <t>Blind Area</t>
  </si>
  <si>
    <t xml:space="preserve"> </t>
  </si>
  <si>
    <t>TOTAL</t>
  </si>
  <si>
    <t>RNDU</t>
  </si>
  <si>
    <t>COGO</t>
  </si>
  <si>
    <t>EUWI</t>
  </si>
  <si>
    <t>CANV</t>
  </si>
  <si>
    <t>RUDU</t>
  </si>
  <si>
    <t>TUSW</t>
  </si>
  <si>
    <t>TRUS</t>
  </si>
  <si>
    <t>Surveyor: Rachel B &amp; Angela P</t>
  </si>
  <si>
    <t>Start Cloud Code: 1</t>
  </si>
  <si>
    <t>Start Wind Code: 3</t>
  </si>
  <si>
    <t>Start Temp: 37</t>
  </si>
  <si>
    <t>End Temp: 49</t>
  </si>
  <si>
    <t>End Cloud Code: 2</t>
  </si>
  <si>
    <t>End Wind Code: 3</t>
  </si>
  <si>
    <t>Start Time: 8:25</t>
  </si>
  <si>
    <t>End Time: 12:01</t>
  </si>
  <si>
    <t>Start Time: 7:30</t>
  </si>
  <si>
    <t>End Time: 11:20</t>
  </si>
  <si>
    <t>End Cloud Code: 0</t>
  </si>
  <si>
    <t>Start Temp: 42</t>
  </si>
  <si>
    <t>Start Temp: 34</t>
  </si>
  <si>
    <t>End Temp: 42</t>
  </si>
  <si>
    <t>Start Wind Code: 4</t>
  </si>
  <si>
    <t>End Cloud Code: 1</t>
  </si>
  <si>
    <t>Start Time: 8:12</t>
  </si>
  <si>
    <t>End Time: 12:23</t>
  </si>
  <si>
    <t>Start Temp: 41</t>
  </si>
  <si>
    <t>End Temp: 55</t>
  </si>
  <si>
    <t>Start Time: 8:20</t>
  </si>
  <si>
    <t>End Time: 12:30</t>
  </si>
  <si>
    <t>Start Time: 8:10</t>
  </si>
  <si>
    <t>Start Temp: 35</t>
  </si>
  <si>
    <t>End Temp: 46</t>
  </si>
  <si>
    <t>CAGO</t>
  </si>
  <si>
    <t>End Time: 12:50</t>
  </si>
  <si>
    <t>Surveyor: Rachel B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</si>
  <si>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</si>
  <si>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Start Cloud Code: 3</t>
  </si>
  <si>
    <t>End Cloud Code: 3</t>
  </si>
  <si>
    <t>Start Wind Code: 2</t>
  </si>
  <si>
    <t>End Wind Code: 4</t>
  </si>
  <si>
    <t>End Temp: 44</t>
  </si>
  <si>
    <t>MNSHO</t>
  </si>
  <si>
    <t>CANG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</si>
</sst>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4086-8507-4052-984B-83042A21770D}">
  <dimension ref="A1:F42"/>
  <sheetViews>
    <sheetView topLeftCell="A16" workbookViewId="0">
      <selection activeCell="E18" sqref="E18"/>
    </sheetView>
  </sheetViews>
  <sheetFormatPr defaultRowHeight="15" x14ac:dyDescent="0.25"/>
  <cols>
    <col min="1" max="1" width="11.7109375" customWidth="1"/>
  </cols>
  <sheetData>
    <row r="1" spans="1:6" x14ac:dyDescent="0.25">
      <c r="A1" s="3" t="s">
        <v>25</v>
      </c>
      <c r="B1" s="3"/>
      <c r="C1" s="3"/>
      <c r="D1" s="3"/>
      <c r="E1" s="3" t="s">
        <v>34</v>
      </c>
      <c r="F1" s="3"/>
    </row>
    <row r="2" spans="1:6" x14ac:dyDescent="0.25">
      <c r="A2" s="3" t="s">
        <v>37</v>
      </c>
      <c r="B2" s="3"/>
      <c r="C2" s="3" t="s">
        <v>29</v>
      </c>
      <c r="D2" s="3"/>
      <c r="E2" s="3" t="s">
        <v>35</v>
      </c>
      <c r="F2" s="3"/>
    </row>
    <row r="3" spans="1:6" x14ac:dyDescent="0.25">
      <c r="A3" s="3" t="s">
        <v>26</v>
      </c>
      <c r="B3" s="3"/>
      <c r="C3" s="3" t="s">
        <v>36</v>
      </c>
      <c r="D3" s="3"/>
    </row>
    <row r="4" spans="1:6" x14ac:dyDescent="0.25">
      <c r="A4" s="3" t="s">
        <v>27</v>
      </c>
      <c r="B4" s="3"/>
      <c r="C4" s="3" t="s">
        <v>31</v>
      </c>
      <c r="D4" s="3"/>
    </row>
    <row r="6" spans="1:6" x14ac:dyDescent="0.25">
      <c r="A6" s="1" t="s">
        <v>0</v>
      </c>
      <c r="B6" s="1" t="s">
        <v>1</v>
      </c>
      <c r="C6" s="1" t="s">
        <v>2</v>
      </c>
    </row>
    <row r="7" spans="1:6" x14ac:dyDescent="0.25">
      <c r="A7">
        <v>1</v>
      </c>
      <c r="B7" t="s">
        <v>13</v>
      </c>
      <c r="C7">
        <v>25</v>
      </c>
    </row>
    <row r="8" spans="1:6" x14ac:dyDescent="0.25">
      <c r="B8" t="s">
        <v>12</v>
      </c>
      <c r="C8">
        <v>10</v>
      </c>
    </row>
    <row r="9" spans="1:6" x14ac:dyDescent="0.25">
      <c r="B9" t="s">
        <v>9</v>
      </c>
      <c r="C9">
        <v>43</v>
      </c>
    </row>
    <row r="10" spans="1:6" x14ac:dyDescent="0.25">
      <c r="B10" t="s">
        <v>5</v>
      </c>
      <c r="C10">
        <v>9</v>
      </c>
    </row>
    <row r="11" spans="1:6" x14ac:dyDescent="0.25">
      <c r="B11" t="s">
        <v>7</v>
      </c>
      <c r="C11">
        <v>5</v>
      </c>
      <c r="E11" t="s">
        <v>16</v>
      </c>
    </row>
    <row r="12" spans="1:6" x14ac:dyDescent="0.25">
      <c r="B12" t="s">
        <v>6</v>
      </c>
      <c r="C12">
        <v>65</v>
      </c>
    </row>
    <row r="13" spans="1:6" x14ac:dyDescent="0.25">
      <c r="B13" t="s">
        <v>10</v>
      </c>
      <c r="C13">
        <v>3</v>
      </c>
    </row>
    <row r="14" spans="1:6" x14ac:dyDescent="0.25">
      <c r="B14" t="s">
        <v>3</v>
      </c>
      <c r="C14">
        <v>295</v>
      </c>
    </row>
    <row r="15" spans="1:6" x14ac:dyDescent="0.25">
      <c r="B15" t="s">
        <v>4</v>
      </c>
      <c r="C15">
        <v>275</v>
      </c>
    </row>
    <row r="16" spans="1:6" x14ac:dyDescent="0.25">
      <c r="A16">
        <v>3</v>
      </c>
      <c r="B16" t="s">
        <v>12</v>
      </c>
      <c r="C16">
        <v>382</v>
      </c>
    </row>
    <row r="17" spans="1:3" x14ac:dyDescent="0.25">
      <c r="B17" t="s">
        <v>11</v>
      </c>
      <c r="C17">
        <v>23</v>
      </c>
    </row>
    <row r="18" spans="1:3" x14ac:dyDescent="0.25">
      <c r="B18" t="s">
        <v>6</v>
      </c>
      <c r="C18">
        <v>565</v>
      </c>
    </row>
    <row r="19" spans="1:3" x14ac:dyDescent="0.25">
      <c r="B19" t="s">
        <v>3</v>
      </c>
      <c r="C19">
        <v>3442</v>
      </c>
    </row>
    <row r="20" spans="1:3" x14ac:dyDescent="0.25">
      <c r="B20" t="s">
        <v>4</v>
      </c>
      <c r="C20">
        <v>1458</v>
      </c>
    </row>
    <row r="21" spans="1:3" x14ac:dyDescent="0.25">
      <c r="B21" t="s">
        <v>8</v>
      </c>
      <c r="C21">
        <v>7</v>
      </c>
    </row>
    <row r="22" spans="1:3" x14ac:dyDescent="0.25">
      <c r="A22">
        <v>4</v>
      </c>
      <c r="B22" t="s">
        <v>13</v>
      </c>
      <c r="C22">
        <v>299</v>
      </c>
    </row>
    <row r="23" spans="1:3" x14ac:dyDescent="0.25">
      <c r="B23" t="s">
        <v>12</v>
      </c>
      <c r="C23">
        <v>130</v>
      </c>
    </row>
    <row r="24" spans="1:3" x14ac:dyDescent="0.25">
      <c r="B24" t="s">
        <v>9</v>
      </c>
      <c r="C24">
        <v>4</v>
      </c>
    </row>
    <row r="25" spans="1:3" x14ac:dyDescent="0.25">
      <c r="B25" t="s">
        <v>5</v>
      </c>
      <c r="C25">
        <v>10</v>
      </c>
    </row>
    <row r="26" spans="1:3" x14ac:dyDescent="0.25">
      <c r="B26" t="s">
        <v>7</v>
      </c>
      <c r="C26">
        <v>116</v>
      </c>
    </row>
    <row r="27" spans="1:3" x14ac:dyDescent="0.25">
      <c r="B27" t="s">
        <v>6</v>
      </c>
      <c r="C27">
        <v>48</v>
      </c>
    </row>
    <row r="28" spans="1:3" x14ac:dyDescent="0.25">
      <c r="B28" t="s">
        <v>10</v>
      </c>
      <c r="C28">
        <v>4</v>
      </c>
    </row>
    <row r="29" spans="1:3" x14ac:dyDescent="0.25">
      <c r="B29" t="s">
        <v>3</v>
      </c>
      <c r="C29">
        <v>110</v>
      </c>
    </row>
    <row r="30" spans="1:3" x14ac:dyDescent="0.25">
      <c r="B30" t="s">
        <v>4</v>
      </c>
      <c r="C30">
        <v>464</v>
      </c>
    </row>
    <row r="31" spans="1:3" x14ac:dyDescent="0.25">
      <c r="A31">
        <v>5</v>
      </c>
      <c r="B31" t="s">
        <v>11</v>
      </c>
      <c r="C31">
        <v>38</v>
      </c>
    </row>
    <row r="32" spans="1:3" x14ac:dyDescent="0.25">
      <c r="B32" t="s">
        <v>3</v>
      </c>
      <c r="C32">
        <v>300</v>
      </c>
    </row>
    <row r="33" spans="1:3" x14ac:dyDescent="0.25">
      <c r="B33" t="s">
        <v>14</v>
      </c>
      <c r="C33">
        <v>2</v>
      </c>
    </row>
    <row r="34" spans="1:3" x14ac:dyDescent="0.25">
      <c r="A34">
        <v>6</v>
      </c>
      <c r="B34" t="s">
        <v>13</v>
      </c>
      <c r="C34">
        <v>7</v>
      </c>
    </row>
    <row r="35" spans="1:3" x14ac:dyDescent="0.25">
      <c r="B35" t="s">
        <v>3</v>
      </c>
      <c r="C35">
        <v>415</v>
      </c>
    </row>
    <row r="36" spans="1:3" x14ac:dyDescent="0.25">
      <c r="B36" t="s">
        <v>4</v>
      </c>
      <c r="C36">
        <v>8</v>
      </c>
    </row>
    <row r="37" spans="1:3" x14ac:dyDescent="0.25">
      <c r="A37" t="s">
        <v>15</v>
      </c>
      <c r="B37" t="s">
        <v>13</v>
      </c>
      <c r="C37">
        <v>134</v>
      </c>
    </row>
    <row r="38" spans="1:3" x14ac:dyDescent="0.25">
      <c r="B38" t="s">
        <v>12</v>
      </c>
      <c r="C38">
        <v>18</v>
      </c>
    </row>
    <row r="39" spans="1:3" x14ac:dyDescent="0.25">
      <c r="B39" t="s">
        <v>7</v>
      </c>
      <c r="C39">
        <v>3</v>
      </c>
    </row>
    <row r="40" spans="1:3" x14ac:dyDescent="0.25">
      <c r="B40" t="s">
        <v>3</v>
      </c>
      <c r="C40">
        <v>31</v>
      </c>
    </row>
    <row r="41" spans="1:3" x14ac:dyDescent="0.25">
      <c r="B41" t="s">
        <v>4</v>
      </c>
      <c r="C41">
        <v>118</v>
      </c>
    </row>
    <row r="42" spans="1:3" x14ac:dyDescent="0.25">
      <c r="A42" t="s">
        <v>17</v>
      </c>
      <c r="C42">
        <f>(SUM(C7:C41))</f>
        <v>8866</v>
      </c>
    </row>
  </sheetData>
  <sortState xmlns:xlrd2="http://schemas.microsoft.com/office/spreadsheetml/2017/richdata2" ref="B22:C30">
    <sortCondition ref="B22:B30"/>
  </sortState>
  <mergeCells count="9">
    <mergeCell ref="A4:B4"/>
    <mergeCell ref="C2:D2"/>
    <mergeCell ref="C3:D3"/>
    <mergeCell ref="C4:D4"/>
    <mergeCell ref="E1:F1"/>
    <mergeCell ref="E2:F2"/>
    <mergeCell ref="A1:D1"/>
    <mergeCell ref="A2:B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F2BA-2A8C-4FA4-B284-CD4420241BC2}">
  <dimension ref="A1:F63"/>
  <sheetViews>
    <sheetView topLeftCell="A37" workbookViewId="0">
      <selection activeCell="F9" sqref="F9"/>
    </sheetView>
  </sheetViews>
  <sheetFormatPr defaultRowHeight="15" x14ac:dyDescent="0.25"/>
  <cols>
    <col min="1" max="1" width="12.28515625" customWidth="1"/>
  </cols>
  <sheetData>
    <row r="1" spans="1:6" x14ac:dyDescent="0.25">
      <c r="A1" s="3" t="s">
        <v>25</v>
      </c>
      <c r="B1" s="3"/>
      <c r="C1" s="3"/>
      <c r="D1" s="3"/>
      <c r="E1" s="3" t="s">
        <v>42</v>
      </c>
      <c r="F1" s="3"/>
    </row>
    <row r="2" spans="1:6" x14ac:dyDescent="0.25">
      <c r="A2" s="3" t="s">
        <v>38</v>
      </c>
      <c r="B2" s="3"/>
      <c r="C2" s="3" t="s">
        <v>39</v>
      </c>
      <c r="D2" s="3"/>
      <c r="E2" s="3" t="s">
        <v>43</v>
      </c>
      <c r="F2" s="3"/>
    </row>
    <row r="3" spans="1:6" x14ac:dyDescent="0.25">
      <c r="A3" s="3" t="s">
        <v>26</v>
      </c>
      <c r="B3" s="3"/>
      <c r="C3" s="3" t="s">
        <v>41</v>
      </c>
      <c r="D3" s="3"/>
    </row>
    <row r="4" spans="1:6" x14ac:dyDescent="0.25">
      <c r="A4" s="3" t="s">
        <v>40</v>
      </c>
      <c r="B4" s="3"/>
      <c r="C4" s="3" t="s">
        <v>31</v>
      </c>
      <c r="D4" s="3"/>
    </row>
    <row r="6" spans="1:6" x14ac:dyDescent="0.25">
      <c r="A6" s="2" t="s">
        <v>0</v>
      </c>
      <c r="B6" s="2" t="s">
        <v>1</v>
      </c>
      <c r="C6" s="2" t="s">
        <v>2</v>
      </c>
    </row>
    <row r="7" spans="1:6" x14ac:dyDescent="0.25">
      <c r="A7">
        <v>1</v>
      </c>
      <c r="B7" t="s">
        <v>13</v>
      </c>
      <c r="C7">
        <v>15</v>
      </c>
    </row>
    <row r="8" spans="1:6" x14ac:dyDescent="0.25">
      <c r="B8" t="s">
        <v>12</v>
      </c>
      <c r="C8">
        <v>5</v>
      </c>
    </row>
    <row r="9" spans="1:6" x14ac:dyDescent="0.25">
      <c r="B9" t="s">
        <v>9</v>
      </c>
      <c r="C9">
        <v>107</v>
      </c>
    </row>
    <row r="10" spans="1:6" x14ac:dyDescent="0.25">
      <c r="B10" t="s">
        <v>5</v>
      </c>
      <c r="C10">
        <v>2</v>
      </c>
    </row>
    <row r="11" spans="1:6" x14ac:dyDescent="0.25">
      <c r="B11" t="s">
        <v>19</v>
      </c>
      <c r="C11">
        <v>4</v>
      </c>
    </row>
    <row r="12" spans="1:6" x14ac:dyDescent="0.25">
      <c r="B12" t="s">
        <v>20</v>
      </c>
      <c r="C12">
        <v>3</v>
      </c>
    </row>
    <row r="13" spans="1:6" x14ac:dyDescent="0.25">
      <c r="B13" t="s">
        <v>7</v>
      </c>
      <c r="C13">
        <v>5</v>
      </c>
    </row>
    <row r="14" spans="1:6" x14ac:dyDescent="0.25">
      <c r="B14" t="s">
        <v>11</v>
      </c>
      <c r="C14">
        <v>128</v>
      </c>
    </row>
    <row r="15" spans="1:6" x14ac:dyDescent="0.25">
      <c r="B15" t="s">
        <v>6</v>
      </c>
      <c r="C15">
        <v>57</v>
      </c>
    </row>
    <row r="16" spans="1:6" x14ac:dyDescent="0.25">
      <c r="B16" t="s">
        <v>10</v>
      </c>
      <c r="C16">
        <v>6</v>
      </c>
    </row>
    <row r="17" spans="1:3" x14ac:dyDescent="0.25">
      <c r="B17" t="s">
        <v>3</v>
      </c>
      <c r="C17">
        <v>1650</v>
      </c>
    </row>
    <row r="18" spans="1:3" x14ac:dyDescent="0.25">
      <c r="B18" t="s">
        <v>4</v>
      </c>
      <c r="C18">
        <v>187</v>
      </c>
    </row>
    <row r="19" spans="1:3" x14ac:dyDescent="0.25">
      <c r="B19" t="s">
        <v>18</v>
      </c>
      <c r="C19">
        <v>5</v>
      </c>
    </row>
    <row r="20" spans="1:3" x14ac:dyDescent="0.25">
      <c r="B20" t="s">
        <v>8</v>
      </c>
      <c r="C20">
        <v>46</v>
      </c>
    </row>
    <row r="21" spans="1:3" x14ac:dyDescent="0.25">
      <c r="A21">
        <v>4</v>
      </c>
      <c r="B21" t="s">
        <v>13</v>
      </c>
      <c r="C21">
        <v>100</v>
      </c>
    </row>
    <row r="22" spans="1:3" x14ac:dyDescent="0.25">
      <c r="B22" t="s">
        <v>5</v>
      </c>
      <c r="C22">
        <v>2</v>
      </c>
    </row>
    <row r="23" spans="1:3" x14ac:dyDescent="0.25">
      <c r="B23" t="s">
        <v>11</v>
      </c>
      <c r="C23">
        <v>5</v>
      </c>
    </row>
    <row r="24" spans="1:3" x14ac:dyDescent="0.25">
      <c r="B24" t="s">
        <v>6</v>
      </c>
      <c r="C24">
        <v>37</v>
      </c>
    </row>
    <row r="25" spans="1:3" x14ac:dyDescent="0.25">
      <c r="B25" t="s">
        <v>10</v>
      </c>
      <c r="C25">
        <v>9</v>
      </c>
    </row>
    <row r="26" spans="1:3" x14ac:dyDescent="0.25">
      <c r="B26" t="s">
        <v>3</v>
      </c>
      <c r="C26">
        <v>175</v>
      </c>
    </row>
    <row r="27" spans="1:3" x14ac:dyDescent="0.25">
      <c r="B27" t="s">
        <v>4</v>
      </c>
      <c r="C27">
        <v>54</v>
      </c>
    </row>
    <row r="28" spans="1:3" x14ac:dyDescent="0.25">
      <c r="A28">
        <v>5</v>
      </c>
      <c r="B28" t="s">
        <v>13</v>
      </c>
      <c r="C28">
        <v>50</v>
      </c>
    </row>
    <row r="29" spans="1:3" x14ac:dyDescent="0.25">
      <c r="B29" t="s">
        <v>12</v>
      </c>
      <c r="C29">
        <v>40</v>
      </c>
    </row>
    <row r="30" spans="1:3" x14ac:dyDescent="0.25">
      <c r="B30" t="s">
        <v>21</v>
      </c>
      <c r="C30">
        <v>222</v>
      </c>
    </row>
    <row r="31" spans="1:3" x14ac:dyDescent="0.25">
      <c r="B31" t="s">
        <v>19</v>
      </c>
      <c r="C31">
        <v>6</v>
      </c>
    </row>
    <row r="32" spans="1:3" x14ac:dyDescent="0.25">
      <c r="B32" t="s">
        <v>11</v>
      </c>
      <c r="C32">
        <v>10</v>
      </c>
    </row>
    <row r="33" spans="1:3" x14ac:dyDescent="0.25">
      <c r="B33" t="s">
        <v>6</v>
      </c>
      <c r="C33">
        <v>10</v>
      </c>
    </row>
    <row r="34" spans="1:3" x14ac:dyDescent="0.25">
      <c r="B34" t="s">
        <v>10</v>
      </c>
      <c r="C34">
        <v>1</v>
      </c>
    </row>
    <row r="35" spans="1:3" x14ac:dyDescent="0.25">
      <c r="B35" t="s">
        <v>3</v>
      </c>
      <c r="C35">
        <v>600</v>
      </c>
    </row>
    <row r="36" spans="1:3" x14ac:dyDescent="0.25">
      <c r="B36" t="s">
        <v>4</v>
      </c>
      <c r="C36">
        <v>90</v>
      </c>
    </row>
    <row r="37" spans="1:3" x14ac:dyDescent="0.25">
      <c r="B37" t="s">
        <v>18</v>
      </c>
      <c r="C37">
        <v>45</v>
      </c>
    </row>
    <row r="38" spans="1:3" x14ac:dyDescent="0.25">
      <c r="B38" t="s">
        <v>22</v>
      </c>
      <c r="C38">
        <v>84</v>
      </c>
    </row>
    <row r="39" spans="1:3" x14ac:dyDescent="0.25">
      <c r="B39" t="s">
        <v>8</v>
      </c>
      <c r="C39">
        <v>265</v>
      </c>
    </row>
    <row r="40" spans="1:3" x14ac:dyDescent="0.25">
      <c r="B40" t="s">
        <v>24</v>
      </c>
      <c r="C40">
        <v>90</v>
      </c>
    </row>
    <row r="41" spans="1:3" x14ac:dyDescent="0.25">
      <c r="B41" t="s">
        <v>23</v>
      </c>
      <c r="C41">
        <v>20</v>
      </c>
    </row>
    <row r="42" spans="1:3" x14ac:dyDescent="0.25">
      <c r="A42">
        <v>7</v>
      </c>
      <c r="B42" t="s">
        <v>13</v>
      </c>
      <c r="C42">
        <v>145</v>
      </c>
    </row>
    <row r="43" spans="1:3" x14ac:dyDescent="0.25">
      <c r="B43" t="s">
        <v>12</v>
      </c>
      <c r="C43">
        <v>155</v>
      </c>
    </row>
    <row r="44" spans="1:3" x14ac:dyDescent="0.25">
      <c r="B44" t="s">
        <v>9</v>
      </c>
      <c r="C44">
        <v>1</v>
      </c>
    </row>
    <row r="45" spans="1:3" x14ac:dyDescent="0.25">
      <c r="B45" t="s">
        <v>5</v>
      </c>
      <c r="C45">
        <v>10</v>
      </c>
    </row>
    <row r="46" spans="1:3" x14ac:dyDescent="0.25">
      <c r="B46" t="s">
        <v>19</v>
      </c>
      <c r="C46">
        <v>1</v>
      </c>
    </row>
    <row r="47" spans="1:3" x14ac:dyDescent="0.25">
      <c r="B47" t="s">
        <v>7</v>
      </c>
      <c r="C47">
        <v>55</v>
      </c>
    </row>
    <row r="48" spans="1:3" x14ac:dyDescent="0.25">
      <c r="B48" t="s">
        <v>11</v>
      </c>
      <c r="C48">
        <v>26</v>
      </c>
    </row>
    <row r="49" spans="1:3" x14ac:dyDescent="0.25">
      <c r="B49" t="s">
        <v>6</v>
      </c>
      <c r="C49">
        <v>620</v>
      </c>
    </row>
    <row r="50" spans="1:3" x14ac:dyDescent="0.25">
      <c r="B50" t="s">
        <v>10</v>
      </c>
      <c r="C50">
        <v>39</v>
      </c>
    </row>
    <row r="51" spans="1:3" x14ac:dyDescent="0.25">
      <c r="B51" t="s">
        <v>3</v>
      </c>
      <c r="C51">
        <v>2100</v>
      </c>
    </row>
    <row r="52" spans="1:3" x14ac:dyDescent="0.25">
      <c r="B52" t="s">
        <v>4</v>
      </c>
      <c r="C52">
        <v>830</v>
      </c>
    </row>
    <row r="53" spans="1:3" x14ac:dyDescent="0.25">
      <c r="B53" t="s">
        <v>18</v>
      </c>
      <c r="C53">
        <v>9</v>
      </c>
    </row>
    <row r="54" spans="1:3" x14ac:dyDescent="0.25">
      <c r="B54" t="s">
        <v>22</v>
      </c>
      <c r="C54">
        <v>2</v>
      </c>
    </row>
    <row r="55" spans="1:3" x14ac:dyDescent="0.25">
      <c r="A55">
        <v>9</v>
      </c>
      <c r="B55" t="s">
        <v>13</v>
      </c>
      <c r="C55">
        <v>290</v>
      </c>
    </row>
    <row r="56" spans="1:3" x14ac:dyDescent="0.25">
      <c r="B56" t="s">
        <v>12</v>
      </c>
      <c r="C56">
        <v>10</v>
      </c>
    </row>
    <row r="57" spans="1:3" x14ac:dyDescent="0.25">
      <c r="B57" t="s">
        <v>7</v>
      </c>
      <c r="C57">
        <v>5</v>
      </c>
    </row>
    <row r="58" spans="1:3" x14ac:dyDescent="0.25">
      <c r="B58" t="s">
        <v>3</v>
      </c>
      <c r="C58">
        <v>410</v>
      </c>
    </row>
    <row r="59" spans="1:3" x14ac:dyDescent="0.25">
      <c r="B59" t="s">
        <v>4</v>
      </c>
      <c r="C59">
        <v>401</v>
      </c>
    </row>
    <row r="60" spans="1:3" x14ac:dyDescent="0.25">
      <c r="B60" t="s">
        <v>14</v>
      </c>
      <c r="C60">
        <v>4</v>
      </c>
    </row>
    <row r="61" spans="1:3" x14ac:dyDescent="0.25">
      <c r="B61" t="s">
        <v>24</v>
      </c>
      <c r="C61">
        <v>3</v>
      </c>
    </row>
    <row r="62" spans="1:3" x14ac:dyDescent="0.25">
      <c r="B62" t="s">
        <v>23</v>
      </c>
      <c r="C62">
        <v>23</v>
      </c>
    </row>
    <row r="63" spans="1:3" x14ac:dyDescent="0.25">
      <c r="A63" t="s">
        <v>17</v>
      </c>
      <c r="C63">
        <f>+SUM(C7:C62)</f>
        <v>9274</v>
      </c>
    </row>
  </sheetData>
  <sortState xmlns:xlrd2="http://schemas.microsoft.com/office/spreadsheetml/2017/richdata2" ref="B55:C62">
    <sortCondition ref="B55:B62"/>
  </sortState>
  <mergeCells count="9">
    <mergeCell ref="A1:D1"/>
    <mergeCell ref="A2:B2"/>
    <mergeCell ref="A3:B3"/>
    <mergeCell ref="A4:B4"/>
    <mergeCell ref="E1:F1"/>
    <mergeCell ref="E2:F2"/>
    <mergeCell ref="C2:D2"/>
    <mergeCell ref="C3:D3"/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3F5C-37C5-408E-93FF-E11363400F20}">
  <dimension ref="A1:F65"/>
  <sheetViews>
    <sheetView topLeftCell="A34" workbookViewId="0">
      <selection activeCell="E18" sqref="E18"/>
    </sheetView>
  </sheetViews>
  <sheetFormatPr defaultRowHeight="15" x14ac:dyDescent="0.25"/>
  <cols>
    <col min="1" max="1" width="12" customWidth="1"/>
  </cols>
  <sheetData>
    <row r="1" spans="1:6" x14ac:dyDescent="0.25">
      <c r="A1" s="3" t="s">
        <v>25</v>
      </c>
      <c r="B1" s="3"/>
      <c r="C1" s="3"/>
      <c r="D1" s="3"/>
      <c r="E1" s="3" t="s">
        <v>32</v>
      </c>
      <c r="F1" s="3"/>
    </row>
    <row r="2" spans="1:6" x14ac:dyDescent="0.25">
      <c r="A2" s="3" t="s">
        <v>28</v>
      </c>
      <c r="B2" s="3"/>
      <c r="C2" s="3" t="s">
        <v>29</v>
      </c>
      <c r="D2" s="3"/>
      <c r="E2" s="3" t="s">
        <v>33</v>
      </c>
      <c r="F2" s="3"/>
    </row>
    <row r="3" spans="1:6" x14ac:dyDescent="0.25">
      <c r="A3" s="3" t="s">
        <v>26</v>
      </c>
      <c r="B3" s="3"/>
      <c r="C3" s="3" t="s">
        <v>30</v>
      </c>
      <c r="D3" s="3"/>
    </row>
    <row r="4" spans="1:6" x14ac:dyDescent="0.25">
      <c r="A4" s="3" t="s">
        <v>27</v>
      </c>
      <c r="B4" s="3"/>
      <c r="C4" s="3" t="s">
        <v>31</v>
      </c>
      <c r="D4" s="3"/>
    </row>
    <row r="6" spans="1:6" x14ac:dyDescent="0.25">
      <c r="A6" s="2" t="s">
        <v>0</v>
      </c>
      <c r="B6" s="2" t="s">
        <v>1</v>
      </c>
      <c r="C6" s="2" t="s">
        <v>2</v>
      </c>
    </row>
    <row r="7" spans="1:6" x14ac:dyDescent="0.25">
      <c r="A7">
        <v>1</v>
      </c>
      <c r="B7" t="s">
        <v>13</v>
      </c>
      <c r="C7">
        <v>89</v>
      </c>
    </row>
    <row r="8" spans="1:6" x14ac:dyDescent="0.25">
      <c r="B8" t="s">
        <v>12</v>
      </c>
      <c r="C8">
        <v>298</v>
      </c>
    </row>
    <row r="9" spans="1:6" x14ac:dyDescent="0.25">
      <c r="B9" t="s">
        <v>9</v>
      </c>
      <c r="C9">
        <v>22</v>
      </c>
    </row>
    <row r="10" spans="1:6" x14ac:dyDescent="0.25">
      <c r="B10" t="s">
        <v>5</v>
      </c>
      <c r="C10">
        <v>14</v>
      </c>
    </row>
    <row r="11" spans="1:6" x14ac:dyDescent="0.25">
      <c r="B11" t="s">
        <v>20</v>
      </c>
      <c r="C11">
        <v>1</v>
      </c>
    </row>
    <row r="12" spans="1:6" x14ac:dyDescent="0.25">
      <c r="B12" t="s">
        <v>7</v>
      </c>
      <c r="C12">
        <v>22</v>
      </c>
    </row>
    <row r="13" spans="1:6" x14ac:dyDescent="0.25">
      <c r="B13" t="s">
        <v>11</v>
      </c>
      <c r="C13">
        <v>26</v>
      </c>
    </row>
    <row r="14" spans="1:6" x14ac:dyDescent="0.25">
      <c r="B14" t="s">
        <v>6</v>
      </c>
      <c r="C14">
        <v>638</v>
      </c>
    </row>
    <row r="15" spans="1:6" x14ac:dyDescent="0.25">
      <c r="B15" t="s">
        <v>10</v>
      </c>
      <c r="C15">
        <v>1</v>
      </c>
    </row>
    <row r="16" spans="1:6" x14ac:dyDescent="0.25">
      <c r="B16" t="s">
        <v>3</v>
      </c>
      <c r="C16">
        <v>3150</v>
      </c>
    </row>
    <row r="17" spans="1:3" x14ac:dyDescent="0.25">
      <c r="B17" t="s">
        <v>4</v>
      </c>
      <c r="C17">
        <v>507</v>
      </c>
    </row>
    <row r="18" spans="1:3" x14ac:dyDescent="0.25">
      <c r="B18" t="s">
        <v>22</v>
      </c>
      <c r="C18">
        <v>4</v>
      </c>
    </row>
    <row r="19" spans="1:3" x14ac:dyDescent="0.25">
      <c r="B19" t="s">
        <v>8</v>
      </c>
      <c r="C19">
        <v>4</v>
      </c>
    </row>
    <row r="20" spans="1:3" x14ac:dyDescent="0.25">
      <c r="A20">
        <v>2</v>
      </c>
      <c r="B20" t="s">
        <v>13</v>
      </c>
      <c r="C20">
        <v>4</v>
      </c>
    </row>
    <row r="21" spans="1:3" x14ac:dyDescent="0.25">
      <c r="B21" t="s">
        <v>51</v>
      </c>
      <c r="C21">
        <v>5</v>
      </c>
    </row>
    <row r="22" spans="1:3" x14ac:dyDescent="0.25">
      <c r="B22" t="s">
        <v>11</v>
      </c>
      <c r="C22">
        <v>25</v>
      </c>
    </row>
    <row r="23" spans="1:3" x14ac:dyDescent="0.25">
      <c r="A23">
        <v>3</v>
      </c>
      <c r="B23" t="s">
        <v>13</v>
      </c>
      <c r="C23">
        <v>10</v>
      </c>
    </row>
    <row r="24" spans="1:3" x14ac:dyDescent="0.25">
      <c r="B24" t="s">
        <v>12</v>
      </c>
      <c r="C24">
        <v>510</v>
      </c>
    </row>
    <row r="25" spans="1:3" x14ac:dyDescent="0.25">
      <c r="B25" t="s">
        <v>19</v>
      </c>
      <c r="C25">
        <v>1</v>
      </c>
    </row>
    <row r="26" spans="1:3" x14ac:dyDescent="0.25">
      <c r="B26" t="s">
        <v>20</v>
      </c>
      <c r="C26">
        <v>1</v>
      </c>
    </row>
    <row r="27" spans="1:3" x14ac:dyDescent="0.25">
      <c r="B27" t="s">
        <v>6</v>
      </c>
      <c r="C27">
        <v>450</v>
      </c>
    </row>
    <row r="28" spans="1:3" x14ac:dyDescent="0.25">
      <c r="B28" t="s">
        <v>10</v>
      </c>
      <c r="C28">
        <v>19</v>
      </c>
    </row>
    <row r="29" spans="1:3" x14ac:dyDescent="0.25">
      <c r="B29" t="s">
        <v>3</v>
      </c>
      <c r="C29">
        <v>1355</v>
      </c>
    </row>
    <row r="30" spans="1:3" x14ac:dyDescent="0.25">
      <c r="B30" t="s">
        <v>4</v>
      </c>
      <c r="C30">
        <v>860</v>
      </c>
    </row>
    <row r="31" spans="1:3" x14ac:dyDescent="0.25">
      <c r="B31" t="s">
        <v>14</v>
      </c>
      <c r="C31">
        <v>9</v>
      </c>
    </row>
    <row r="32" spans="1:3" x14ac:dyDescent="0.25">
      <c r="B32" t="s">
        <v>23</v>
      </c>
      <c r="C32">
        <v>52</v>
      </c>
    </row>
    <row r="33" spans="1:3" x14ac:dyDescent="0.25">
      <c r="A33">
        <v>4</v>
      </c>
      <c r="B33" t="s">
        <v>13</v>
      </c>
      <c r="C33">
        <v>137</v>
      </c>
    </row>
    <row r="34" spans="1:3" x14ac:dyDescent="0.25">
      <c r="B34" t="s">
        <v>12</v>
      </c>
      <c r="C34">
        <v>261</v>
      </c>
    </row>
    <row r="35" spans="1:3" x14ac:dyDescent="0.25">
      <c r="B35" t="s">
        <v>9</v>
      </c>
      <c r="C35">
        <v>6</v>
      </c>
    </row>
    <row r="36" spans="1:3" x14ac:dyDescent="0.25">
      <c r="B36" t="s">
        <v>5</v>
      </c>
      <c r="C36">
        <v>8</v>
      </c>
    </row>
    <row r="37" spans="1:3" x14ac:dyDescent="0.25">
      <c r="B37" t="s">
        <v>20</v>
      </c>
      <c r="C37">
        <v>1</v>
      </c>
    </row>
    <row r="38" spans="1:3" x14ac:dyDescent="0.25">
      <c r="B38" t="s">
        <v>7</v>
      </c>
      <c r="C38">
        <v>71</v>
      </c>
    </row>
    <row r="39" spans="1:3" x14ac:dyDescent="0.25">
      <c r="B39" t="s">
        <v>11</v>
      </c>
      <c r="C39">
        <v>27</v>
      </c>
    </row>
    <row r="40" spans="1:3" x14ac:dyDescent="0.25">
      <c r="B40" t="s">
        <v>6</v>
      </c>
      <c r="C40">
        <v>452</v>
      </c>
    </row>
    <row r="41" spans="1:3" x14ac:dyDescent="0.25">
      <c r="B41" t="s">
        <v>10</v>
      </c>
      <c r="C41">
        <v>27</v>
      </c>
    </row>
    <row r="42" spans="1:3" x14ac:dyDescent="0.25">
      <c r="B42" t="s">
        <v>3</v>
      </c>
      <c r="C42">
        <v>2303</v>
      </c>
    </row>
    <row r="43" spans="1:3" x14ac:dyDescent="0.25">
      <c r="B43" t="s">
        <v>4</v>
      </c>
      <c r="C43">
        <v>92</v>
      </c>
    </row>
    <row r="44" spans="1:3" x14ac:dyDescent="0.25">
      <c r="B44" t="s">
        <v>18</v>
      </c>
      <c r="C44">
        <v>17</v>
      </c>
    </row>
    <row r="45" spans="1:3" x14ac:dyDescent="0.25">
      <c r="B45" t="s">
        <v>22</v>
      </c>
      <c r="C45">
        <v>2</v>
      </c>
    </row>
    <row r="46" spans="1:3" x14ac:dyDescent="0.25">
      <c r="B46" t="s">
        <v>8</v>
      </c>
      <c r="C46">
        <v>9</v>
      </c>
    </row>
    <row r="47" spans="1:3" x14ac:dyDescent="0.25">
      <c r="B47" t="s">
        <v>14</v>
      </c>
      <c r="C47">
        <v>16</v>
      </c>
    </row>
    <row r="48" spans="1:3" x14ac:dyDescent="0.25">
      <c r="B48" t="s">
        <v>23</v>
      </c>
      <c r="C48">
        <v>1</v>
      </c>
    </row>
    <row r="49" spans="1:3" x14ac:dyDescent="0.25">
      <c r="A49">
        <v>5</v>
      </c>
      <c r="B49" t="s">
        <v>13</v>
      </c>
      <c r="C49">
        <v>5</v>
      </c>
    </row>
    <row r="50" spans="1:3" x14ac:dyDescent="0.25">
      <c r="B50" t="s">
        <v>11</v>
      </c>
      <c r="C50">
        <v>7</v>
      </c>
    </row>
    <row r="51" spans="1:3" x14ac:dyDescent="0.25">
      <c r="B51" t="s">
        <v>6</v>
      </c>
      <c r="C51">
        <v>370</v>
      </c>
    </row>
    <row r="52" spans="1:3" x14ac:dyDescent="0.25">
      <c r="B52" t="s">
        <v>10</v>
      </c>
      <c r="C52">
        <v>15</v>
      </c>
    </row>
    <row r="53" spans="1:3" x14ac:dyDescent="0.25">
      <c r="B53" t="s">
        <v>3</v>
      </c>
      <c r="C53">
        <v>890</v>
      </c>
    </row>
    <row r="54" spans="1:3" x14ac:dyDescent="0.25">
      <c r="B54" t="s">
        <v>4</v>
      </c>
      <c r="C54">
        <v>820</v>
      </c>
    </row>
    <row r="55" spans="1:3" x14ac:dyDescent="0.25">
      <c r="B55" t="s">
        <v>14</v>
      </c>
      <c r="C55">
        <v>127</v>
      </c>
    </row>
    <row r="56" spans="1:3" x14ac:dyDescent="0.25">
      <c r="B56" t="s">
        <v>23</v>
      </c>
      <c r="C56">
        <v>67</v>
      </c>
    </row>
    <row r="57" spans="1:3" x14ac:dyDescent="0.25">
      <c r="A57">
        <v>7</v>
      </c>
      <c r="B57" t="s">
        <v>13</v>
      </c>
      <c r="C57">
        <v>179</v>
      </c>
    </row>
    <row r="58" spans="1:3" x14ac:dyDescent="0.25">
      <c r="B58" t="s">
        <v>12</v>
      </c>
      <c r="C58">
        <v>758</v>
      </c>
    </row>
    <row r="59" spans="1:3" x14ac:dyDescent="0.25">
      <c r="B59" t="s">
        <v>5</v>
      </c>
      <c r="C59">
        <v>1</v>
      </c>
    </row>
    <row r="60" spans="1:3" x14ac:dyDescent="0.25">
      <c r="B60" t="s">
        <v>7</v>
      </c>
      <c r="C60">
        <v>127</v>
      </c>
    </row>
    <row r="61" spans="1:3" x14ac:dyDescent="0.25">
      <c r="B61" t="s">
        <v>11</v>
      </c>
      <c r="C61">
        <v>6</v>
      </c>
    </row>
    <row r="62" spans="1:3" x14ac:dyDescent="0.25">
      <c r="B62" t="s">
        <v>6</v>
      </c>
      <c r="C62">
        <v>822</v>
      </c>
    </row>
    <row r="63" spans="1:3" x14ac:dyDescent="0.25">
      <c r="B63" t="s">
        <v>3</v>
      </c>
      <c r="C63">
        <v>675</v>
      </c>
    </row>
    <row r="64" spans="1:3" x14ac:dyDescent="0.25">
      <c r="B64" t="s">
        <v>4</v>
      </c>
      <c r="C64">
        <v>16</v>
      </c>
    </row>
    <row r="65" spans="1:3" x14ac:dyDescent="0.25">
      <c r="A65" t="s">
        <v>17</v>
      </c>
      <c r="C65">
        <f>SUM(C7:C64)</f>
        <v>16392</v>
      </c>
    </row>
  </sheetData>
  <sortState xmlns:xlrd2="http://schemas.microsoft.com/office/spreadsheetml/2017/richdata2" ref="B20:C22">
    <sortCondition ref="B20:B22"/>
  </sortState>
  <mergeCells count="9">
    <mergeCell ref="E1:F1"/>
    <mergeCell ref="E2:F2"/>
    <mergeCell ref="A2:B2"/>
    <mergeCell ref="A3:B3"/>
    <mergeCell ref="A4:B4"/>
    <mergeCell ref="C2:D2"/>
    <mergeCell ref="C3:D3"/>
    <mergeCell ref="C4:D4"/>
    <mergeCell ref="A1:D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A0E7-D490-4546-A476-4FF7DC5D22BC}">
  <dimension ref="A1:F65"/>
  <sheetViews>
    <sheetView topLeftCell="A34" workbookViewId="0">
      <selection activeCell="G53" sqref="G53"/>
    </sheetView>
  </sheetViews>
  <sheetFormatPr defaultRowHeight="15" x14ac:dyDescent="0.25"/>
  <cols>
    <col min="1" max="1" width="12.42578125" customWidth="1"/>
  </cols>
  <sheetData>
    <row r="1" spans="1:6" x14ac:dyDescent="0.25">
      <c r="A1" s="3" t="s">
        <v>25</v>
      </c>
      <c r="B1" s="3"/>
      <c r="C1" s="3"/>
      <c r="D1" s="3"/>
      <c r="E1" s="3" t="s">
        <v>46</v>
      </c>
      <c r="F1" s="3"/>
    </row>
    <row r="2" spans="1:6" x14ac:dyDescent="0.25">
      <c r="A2" s="3" t="s">
        <v>44</v>
      </c>
      <c r="B2" s="3"/>
      <c r="C2" s="3" t="s">
        <v>45</v>
      </c>
      <c r="D2" s="3"/>
      <c r="E2" s="3" t="s">
        <v>47</v>
      </c>
      <c r="F2" s="3"/>
    </row>
    <row r="3" spans="1:6" x14ac:dyDescent="0.25">
      <c r="A3" s="3" t="s">
        <v>26</v>
      </c>
      <c r="B3" s="3"/>
      <c r="C3" s="3" t="s">
        <v>41</v>
      </c>
      <c r="D3" s="3"/>
    </row>
    <row r="4" spans="1:6" x14ac:dyDescent="0.25">
      <c r="A4" s="3" t="s">
        <v>27</v>
      </c>
      <c r="B4" s="3"/>
      <c r="C4" s="3" t="s">
        <v>31</v>
      </c>
      <c r="D4" s="3"/>
    </row>
    <row r="6" spans="1:6" x14ac:dyDescent="0.25">
      <c r="A6" s="2" t="s">
        <v>0</v>
      </c>
      <c r="B6" s="2" t="s">
        <v>1</v>
      </c>
      <c r="C6" s="2" t="s">
        <v>2</v>
      </c>
    </row>
    <row r="7" spans="1:6" x14ac:dyDescent="0.25">
      <c r="A7">
        <v>1</v>
      </c>
      <c r="B7" t="s">
        <v>13</v>
      </c>
      <c r="C7">
        <v>53</v>
      </c>
    </row>
    <row r="8" spans="1:6" x14ac:dyDescent="0.25">
      <c r="B8" t="s">
        <v>12</v>
      </c>
      <c r="C8">
        <v>262</v>
      </c>
    </row>
    <row r="9" spans="1:6" x14ac:dyDescent="0.25">
      <c r="B9" t="s">
        <v>9</v>
      </c>
      <c r="C9">
        <v>22</v>
      </c>
    </row>
    <row r="10" spans="1:6" x14ac:dyDescent="0.25">
      <c r="B10" t="s">
        <v>5</v>
      </c>
      <c r="C10">
        <v>7</v>
      </c>
    </row>
    <row r="11" spans="1:6" x14ac:dyDescent="0.25">
      <c r="B11" t="s">
        <v>20</v>
      </c>
      <c r="C11">
        <v>1</v>
      </c>
    </row>
    <row r="12" spans="1:6" x14ac:dyDescent="0.25">
      <c r="B12" t="s">
        <v>7</v>
      </c>
      <c r="C12">
        <v>170</v>
      </c>
    </row>
    <row r="13" spans="1:6" x14ac:dyDescent="0.25">
      <c r="B13" t="s">
        <v>6</v>
      </c>
      <c r="C13">
        <v>485</v>
      </c>
    </row>
    <row r="14" spans="1:6" x14ac:dyDescent="0.25">
      <c r="B14" t="s">
        <v>10</v>
      </c>
      <c r="C14">
        <v>2</v>
      </c>
    </row>
    <row r="15" spans="1:6" x14ac:dyDescent="0.25">
      <c r="B15" t="s">
        <v>3</v>
      </c>
      <c r="C15">
        <v>1900</v>
      </c>
    </row>
    <row r="16" spans="1:6" x14ac:dyDescent="0.25">
      <c r="B16" t="s">
        <v>4</v>
      </c>
      <c r="C16">
        <v>120</v>
      </c>
    </row>
    <row r="17" spans="1:3" x14ac:dyDescent="0.25">
      <c r="B17" t="s">
        <v>18</v>
      </c>
      <c r="C17">
        <v>17</v>
      </c>
    </row>
    <row r="18" spans="1:3" x14ac:dyDescent="0.25">
      <c r="B18" t="s">
        <v>22</v>
      </c>
      <c r="C18">
        <v>12</v>
      </c>
    </row>
    <row r="19" spans="1:3" x14ac:dyDescent="0.25">
      <c r="B19" t="s">
        <v>8</v>
      </c>
      <c r="C19">
        <v>4</v>
      </c>
    </row>
    <row r="20" spans="1:3" x14ac:dyDescent="0.25">
      <c r="A20">
        <v>2</v>
      </c>
      <c r="B20" t="s">
        <v>13</v>
      </c>
      <c r="C20">
        <v>33</v>
      </c>
    </row>
    <row r="21" spans="1:3" x14ac:dyDescent="0.25">
      <c r="B21" t="s">
        <v>51</v>
      </c>
      <c r="C21">
        <v>2</v>
      </c>
    </row>
    <row r="22" spans="1:3" x14ac:dyDescent="0.25">
      <c r="B22" t="s">
        <v>11</v>
      </c>
      <c r="C22">
        <v>5</v>
      </c>
    </row>
    <row r="23" spans="1:3" x14ac:dyDescent="0.25">
      <c r="B23" t="s">
        <v>10</v>
      </c>
      <c r="C23">
        <v>15</v>
      </c>
    </row>
    <row r="24" spans="1:3" x14ac:dyDescent="0.25">
      <c r="B24" t="s">
        <v>3</v>
      </c>
      <c r="C24">
        <v>92</v>
      </c>
    </row>
    <row r="25" spans="1:3" x14ac:dyDescent="0.25">
      <c r="B25" t="s">
        <v>4</v>
      </c>
      <c r="C25">
        <v>14</v>
      </c>
    </row>
    <row r="26" spans="1:3" x14ac:dyDescent="0.25">
      <c r="B26" t="s">
        <v>14</v>
      </c>
      <c r="C26">
        <v>384</v>
      </c>
    </row>
    <row r="27" spans="1:3" x14ac:dyDescent="0.25">
      <c r="A27">
        <v>3</v>
      </c>
      <c r="B27" t="s">
        <v>13</v>
      </c>
      <c r="C27">
        <v>30</v>
      </c>
    </row>
    <row r="28" spans="1:3" x14ac:dyDescent="0.25">
      <c r="B28" t="s">
        <v>12</v>
      </c>
      <c r="C28">
        <v>170</v>
      </c>
    </row>
    <row r="29" spans="1:3" x14ac:dyDescent="0.25">
      <c r="B29" t="s">
        <v>6</v>
      </c>
      <c r="C29">
        <v>150</v>
      </c>
    </row>
    <row r="30" spans="1:3" x14ac:dyDescent="0.25">
      <c r="B30" t="s">
        <v>10</v>
      </c>
      <c r="C30">
        <v>4</v>
      </c>
    </row>
    <row r="31" spans="1:3" x14ac:dyDescent="0.25">
      <c r="B31" t="s">
        <v>3</v>
      </c>
      <c r="C31">
        <v>160</v>
      </c>
    </row>
    <row r="32" spans="1:3" x14ac:dyDescent="0.25">
      <c r="B32" t="s">
        <v>4</v>
      </c>
      <c r="C32">
        <v>307</v>
      </c>
    </row>
    <row r="33" spans="1:3" x14ac:dyDescent="0.25">
      <c r="B33" t="s">
        <v>14</v>
      </c>
      <c r="C33">
        <v>31</v>
      </c>
    </row>
    <row r="34" spans="1:3" x14ac:dyDescent="0.25">
      <c r="A34">
        <v>4</v>
      </c>
      <c r="B34" t="s">
        <v>13</v>
      </c>
      <c r="C34">
        <v>183</v>
      </c>
    </row>
    <row r="35" spans="1:3" x14ac:dyDescent="0.25">
      <c r="B35" t="s">
        <v>12</v>
      </c>
      <c r="C35">
        <v>189</v>
      </c>
    </row>
    <row r="36" spans="1:3" x14ac:dyDescent="0.25">
      <c r="B36" t="s">
        <v>9</v>
      </c>
      <c r="C36">
        <v>2</v>
      </c>
    </row>
    <row r="37" spans="1:3" x14ac:dyDescent="0.25">
      <c r="B37" t="s">
        <v>51</v>
      </c>
      <c r="C37">
        <v>1</v>
      </c>
    </row>
    <row r="38" spans="1:3" x14ac:dyDescent="0.25">
      <c r="B38" t="s">
        <v>5</v>
      </c>
      <c r="C38">
        <v>17</v>
      </c>
    </row>
    <row r="39" spans="1:3" x14ac:dyDescent="0.25">
      <c r="B39" t="s">
        <v>7</v>
      </c>
      <c r="C39">
        <v>52</v>
      </c>
    </row>
    <row r="40" spans="1:3" x14ac:dyDescent="0.25">
      <c r="B40" t="s">
        <v>11</v>
      </c>
      <c r="C40">
        <v>32</v>
      </c>
    </row>
    <row r="41" spans="1:3" x14ac:dyDescent="0.25">
      <c r="B41" t="s">
        <v>6</v>
      </c>
      <c r="C41">
        <v>223</v>
      </c>
    </row>
    <row r="42" spans="1:3" x14ac:dyDescent="0.25">
      <c r="B42" t="s">
        <v>10</v>
      </c>
      <c r="C42">
        <v>4</v>
      </c>
    </row>
    <row r="43" spans="1:3" x14ac:dyDescent="0.25">
      <c r="B43" t="s">
        <v>3</v>
      </c>
      <c r="C43">
        <v>1792</v>
      </c>
    </row>
    <row r="44" spans="1:3" x14ac:dyDescent="0.25">
      <c r="B44" t="s">
        <v>4</v>
      </c>
      <c r="C44">
        <v>53</v>
      </c>
    </row>
    <row r="45" spans="1:3" x14ac:dyDescent="0.25">
      <c r="B45" t="s">
        <v>14</v>
      </c>
      <c r="C45">
        <v>42</v>
      </c>
    </row>
    <row r="46" spans="1:3" x14ac:dyDescent="0.25">
      <c r="A46">
        <v>5</v>
      </c>
      <c r="B46" t="s">
        <v>5</v>
      </c>
      <c r="C46">
        <v>2</v>
      </c>
    </row>
    <row r="47" spans="1:3" x14ac:dyDescent="0.25">
      <c r="B47" t="s">
        <v>11</v>
      </c>
      <c r="C47">
        <v>9</v>
      </c>
    </row>
    <row r="48" spans="1:3" x14ac:dyDescent="0.25">
      <c r="B48" t="s">
        <v>6</v>
      </c>
      <c r="C48">
        <v>220</v>
      </c>
    </row>
    <row r="49" spans="1:3" x14ac:dyDescent="0.25">
      <c r="B49" t="s">
        <v>3</v>
      </c>
      <c r="C49">
        <v>80</v>
      </c>
    </row>
    <row r="50" spans="1:3" x14ac:dyDescent="0.25">
      <c r="B50" t="s">
        <v>4</v>
      </c>
      <c r="C50">
        <v>740</v>
      </c>
    </row>
    <row r="51" spans="1:3" x14ac:dyDescent="0.25">
      <c r="B51" t="s">
        <v>14</v>
      </c>
      <c r="C51">
        <v>550</v>
      </c>
    </row>
    <row r="52" spans="1:3" x14ac:dyDescent="0.25">
      <c r="A52">
        <v>7</v>
      </c>
      <c r="B52" t="s">
        <v>13</v>
      </c>
      <c r="C52">
        <v>30</v>
      </c>
    </row>
    <row r="53" spans="1:3" x14ac:dyDescent="0.25">
      <c r="B53" t="s">
        <v>12</v>
      </c>
      <c r="C53">
        <v>152</v>
      </c>
    </row>
    <row r="54" spans="1:3" x14ac:dyDescent="0.25">
      <c r="B54" t="s">
        <v>5</v>
      </c>
      <c r="C54">
        <v>7</v>
      </c>
    </row>
    <row r="55" spans="1:3" x14ac:dyDescent="0.25">
      <c r="B55" t="s">
        <v>20</v>
      </c>
      <c r="C55">
        <v>1</v>
      </c>
    </row>
    <row r="56" spans="1:3" x14ac:dyDescent="0.25">
      <c r="B56" t="s">
        <v>7</v>
      </c>
      <c r="C56">
        <v>42</v>
      </c>
    </row>
    <row r="57" spans="1:3" x14ac:dyDescent="0.25">
      <c r="B57" t="s">
        <v>6</v>
      </c>
      <c r="C57">
        <v>415</v>
      </c>
    </row>
    <row r="58" spans="1:3" x14ac:dyDescent="0.25">
      <c r="B58" t="s">
        <v>10</v>
      </c>
      <c r="C58">
        <v>2</v>
      </c>
    </row>
    <row r="59" spans="1:3" x14ac:dyDescent="0.25">
      <c r="B59" t="s">
        <v>3</v>
      </c>
      <c r="C59">
        <v>713</v>
      </c>
    </row>
    <row r="60" spans="1:3" x14ac:dyDescent="0.25">
      <c r="B60" t="s">
        <v>4</v>
      </c>
      <c r="C60">
        <v>186</v>
      </c>
    </row>
    <row r="61" spans="1:3" x14ac:dyDescent="0.25">
      <c r="B61" t="s">
        <v>22</v>
      </c>
      <c r="C61">
        <v>3</v>
      </c>
    </row>
    <row r="62" spans="1:3" x14ac:dyDescent="0.25">
      <c r="A62">
        <v>9</v>
      </c>
      <c r="B62" t="s">
        <v>13</v>
      </c>
      <c r="C62">
        <v>2</v>
      </c>
    </row>
    <row r="63" spans="1:3" x14ac:dyDescent="0.25">
      <c r="B63" t="s">
        <v>11</v>
      </c>
      <c r="C63">
        <v>12</v>
      </c>
    </row>
    <row r="64" spans="1:3" x14ac:dyDescent="0.25">
      <c r="B64" t="s">
        <v>4</v>
      </c>
      <c r="C64">
        <v>24</v>
      </c>
    </row>
    <row r="65" spans="1:3" x14ac:dyDescent="0.25">
      <c r="A65" t="s">
        <v>17</v>
      </c>
      <c r="C65">
        <f>SUM(C7:C64)</f>
        <v>10232</v>
      </c>
    </row>
  </sheetData>
  <sortState xmlns:xlrd2="http://schemas.microsoft.com/office/spreadsheetml/2017/richdata2" ref="B62:C64">
    <sortCondition ref="B62:B64"/>
  </sortState>
  <mergeCells count="9">
    <mergeCell ref="A4:B4"/>
    <mergeCell ref="C4:D4"/>
    <mergeCell ref="A1:D1"/>
    <mergeCell ref="E1:F1"/>
    <mergeCell ref="A2:B2"/>
    <mergeCell ref="C2:D2"/>
    <mergeCell ref="E2:F2"/>
    <mergeCell ref="A3:B3"/>
    <mergeCell ref="C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C9C8-FD1E-4690-8AA5-F9ECBF4232CE}">
  <dimension ref="A1:F54"/>
  <sheetViews>
    <sheetView tabSelected="1" topLeftCell="A7" workbookViewId="0">
      <selection sqref="A1:D1"/>
    </sheetView>
  </sheetViews>
  <sheetFormatPr defaultRowHeight="15" x14ac:dyDescent="0.25"/>
  <cols>
    <col min="1" max="1" width="12.85546875" customWidth="1"/>
  </cols>
  <sheetData>
    <row r="1" spans="1:6" x14ac:dyDescent="0.25">
      <c r="A1" s="3" t="s">
        <v>53</v>
      </c>
      <c r="B1" s="3"/>
      <c r="C1" s="3"/>
      <c r="D1" s="3"/>
      <c r="E1" s="3" t="s">
        <v>48</v>
      </c>
      <c r="F1" s="3"/>
    </row>
    <row r="2" spans="1:6" x14ac:dyDescent="0.25">
      <c r="A2" s="3" t="s">
        <v>49</v>
      </c>
      <c r="B2" s="3"/>
      <c r="C2" s="3" t="s">
        <v>50</v>
      </c>
      <c r="D2" s="3"/>
      <c r="E2" s="3" t="s">
        <v>52</v>
      </c>
      <c r="F2" s="3"/>
    </row>
    <row r="3" spans="1:6" x14ac:dyDescent="0.25">
      <c r="A3" s="3" t="s">
        <v>26</v>
      </c>
      <c r="B3" s="3"/>
      <c r="C3" s="3" t="s">
        <v>30</v>
      </c>
      <c r="D3" s="3"/>
    </row>
    <row r="4" spans="1:6" x14ac:dyDescent="0.25">
      <c r="A4" s="3" t="s">
        <v>27</v>
      </c>
      <c r="B4" s="3"/>
      <c r="C4" s="3" t="s">
        <v>31</v>
      </c>
      <c r="D4" s="3"/>
    </row>
    <row r="6" spans="1:6" x14ac:dyDescent="0.25">
      <c r="A6" s="2" t="s">
        <v>0</v>
      </c>
      <c r="B6" s="2" t="s">
        <v>1</v>
      </c>
      <c r="C6" s="2" t="s">
        <v>2</v>
      </c>
    </row>
    <row r="7" spans="1:6" x14ac:dyDescent="0.25">
      <c r="A7">
        <v>1</v>
      </c>
      <c r="B7" t="s">
        <v>13</v>
      </c>
      <c r="C7">
        <v>70</v>
      </c>
    </row>
    <row r="8" spans="1:6" x14ac:dyDescent="0.25">
      <c r="B8" t="s">
        <v>12</v>
      </c>
      <c r="C8">
        <v>820</v>
      </c>
    </row>
    <row r="9" spans="1:6" x14ac:dyDescent="0.25">
      <c r="B9" t="s">
        <v>5</v>
      </c>
      <c r="C9">
        <v>6</v>
      </c>
    </row>
    <row r="10" spans="1:6" x14ac:dyDescent="0.25">
      <c r="B10" t="s">
        <v>7</v>
      </c>
      <c r="C10">
        <v>6</v>
      </c>
    </row>
    <row r="11" spans="1:6" x14ac:dyDescent="0.25">
      <c r="B11" t="s">
        <v>6</v>
      </c>
      <c r="C11">
        <v>320</v>
      </c>
    </row>
    <row r="12" spans="1:6" x14ac:dyDescent="0.25">
      <c r="B12" t="s">
        <v>10</v>
      </c>
      <c r="C12">
        <v>2</v>
      </c>
    </row>
    <row r="13" spans="1:6" x14ac:dyDescent="0.25">
      <c r="B13" t="s">
        <v>3</v>
      </c>
      <c r="C13">
        <v>2120</v>
      </c>
    </row>
    <row r="14" spans="1:6" x14ac:dyDescent="0.25">
      <c r="B14" t="s">
        <v>4</v>
      </c>
      <c r="C14">
        <v>470</v>
      </c>
    </row>
    <row r="15" spans="1:6" x14ac:dyDescent="0.25">
      <c r="A15">
        <v>3</v>
      </c>
      <c r="B15" t="s">
        <v>13</v>
      </c>
      <c r="C15">
        <v>60</v>
      </c>
    </row>
    <row r="16" spans="1:6" x14ac:dyDescent="0.25">
      <c r="B16" t="s">
        <v>6</v>
      </c>
      <c r="C16">
        <v>310</v>
      </c>
    </row>
    <row r="17" spans="1:3" x14ac:dyDescent="0.25">
      <c r="B17" t="s">
        <v>10</v>
      </c>
      <c r="C17">
        <v>8</v>
      </c>
    </row>
    <row r="18" spans="1:3" x14ac:dyDescent="0.25">
      <c r="B18" t="s">
        <v>3</v>
      </c>
      <c r="C18">
        <v>370</v>
      </c>
    </row>
    <row r="19" spans="1:3" x14ac:dyDescent="0.25">
      <c r="B19" t="s">
        <v>4</v>
      </c>
      <c r="C19">
        <v>410</v>
      </c>
    </row>
    <row r="20" spans="1:3" x14ac:dyDescent="0.25">
      <c r="B20" t="s">
        <v>14</v>
      </c>
      <c r="C20">
        <v>4</v>
      </c>
    </row>
    <row r="21" spans="1:3" x14ac:dyDescent="0.25">
      <c r="B21" t="s">
        <v>23</v>
      </c>
      <c r="C21">
        <v>2</v>
      </c>
    </row>
    <row r="22" spans="1:3" x14ac:dyDescent="0.25">
      <c r="A22">
        <v>4</v>
      </c>
      <c r="B22" t="s">
        <v>13</v>
      </c>
      <c r="C22">
        <v>260</v>
      </c>
    </row>
    <row r="23" spans="1:3" x14ac:dyDescent="0.25">
      <c r="B23" t="s">
        <v>12</v>
      </c>
      <c r="C23">
        <v>270</v>
      </c>
    </row>
    <row r="24" spans="1:3" x14ac:dyDescent="0.25">
      <c r="B24" t="s">
        <v>51</v>
      </c>
      <c r="C24">
        <v>5</v>
      </c>
    </row>
    <row r="25" spans="1:3" x14ac:dyDescent="0.25">
      <c r="B25" t="s">
        <v>5</v>
      </c>
      <c r="C25">
        <v>20</v>
      </c>
    </row>
    <row r="26" spans="1:3" x14ac:dyDescent="0.25">
      <c r="B26" t="s">
        <v>7</v>
      </c>
      <c r="C26">
        <v>15</v>
      </c>
    </row>
    <row r="27" spans="1:3" x14ac:dyDescent="0.25">
      <c r="B27" t="s">
        <v>6</v>
      </c>
      <c r="C27">
        <v>980</v>
      </c>
    </row>
    <row r="28" spans="1:3" x14ac:dyDescent="0.25">
      <c r="B28" t="s">
        <v>10</v>
      </c>
      <c r="C28">
        <v>14</v>
      </c>
    </row>
    <row r="29" spans="1:3" x14ac:dyDescent="0.25">
      <c r="B29" t="s">
        <v>3</v>
      </c>
      <c r="C29">
        <v>3380</v>
      </c>
    </row>
    <row r="30" spans="1:3" x14ac:dyDescent="0.25">
      <c r="B30" t="s">
        <v>4</v>
      </c>
      <c r="C30">
        <v>1200</v>
      </c>
    </row>
    <row r="31" spans="1:3" x14ac:dyDescent="0.25">
      <c r="B31" t="s">
        <v>18</v>
      </c>
      <c r="C31">
        <v>2</v>
      </c>
    </row>
    <row r="32" spans="1:3" x14ac:dyDescent="0.25">
      <c r="B32" t="s">
        <v>22</v>
      </c>
      <c r="C32">
        <v>4</v>
      </c>
    </row>
    <row r="33" spans="1:3" x14ac:dyDescent="0.25">
      <c r="B33" t="s">
        <v>14</v>
      </c>
      <c r="C33">
        <v>157</v>
      </c>
    </row>
    <row r="34" spans="1:3" x14ac:dyDescent="0.25">
      <c r="A34">
        <v>5</v>
      </c>
      <c r="B34" t="s">
        <v>51</v>
      </c>
      <c r="C34">
        <v>3</v>
      </c>
    </row>
    <row r="35" spans="1:3" x14ac:dyDescent="0.25">
      <c r="B35" t="s">
        <v>5</v>
      </c>
      <c r="C35">
        <v>6</v>
      </c>
    </row>
    <row r="36" spans="1:3" x14ac:dyDescent="0.25">
      <c r="B36" t="s">
        <v>6</v>
      </c>
      <c r="C36">
        <v>80</v>
      </c>
    </row>
    <row r="37" spans="1:3" x14ac:dyDescent="0.25">
      <c r="B37" t="s">
        <v>3</v>
      </c>
      <c r="C37">
        <v>60</v>
      </c>
    </row>
    <row r="38" spans="1:3" x14ac:dyDescent="0.25">
      <c r="B38" t="s">
        <v>4</v>
      </c>
      <c r="C38">
        <v>150</v>
      </c>
    </row>
    <row r="39" spans="1:3" x14ac:dyDescent="0.25">
      <c r="A39">
        <v>6</v>
      </c>
      <c r="B39" t="s">
        <v>4</v>
      </c>
      <c r="C39">
        <v>120</v>
      </c>
    </row>
    <row r="40" spans="1:3" x14ac:dyDescent="0.25">
      <c r="B40" t="s">
        <v>7</v>
      </c>
      <c r="C40">
        <v>10</v>
      </c>
    </row>
    <row r="41" spans="1:3" x14ac:dyDescent="0.25">
      <c r="B41" t="s">
        <v>11</v>
      </c>
      <c r="C41">
        <v>15</v>
      </c>
    </row>
    <row r="42" spans="1:3" x14ac:dyDescent="0.25">
      <c r="B42" t="s">
        <v>10</v>
      </c>
      <c r="C42">
        <v>4</v>
      </c>
    </row>
    <row r="43" spans="1:3" x14ac:dyDescent="0.25">
      <c r="B43" t="s">
        <v>3</v>
      </c>
      <c r="C43">
        <v>80</v>
      </c>
    </row>
    <row r="44" spans="1:3" x14ac:dyDescent="0.25">
      <c r="A44">
        <v>7</v>
      </c>
      <c r="B44" t="s">
        <v>12</v>
      </c>
      <c r="C44">
        <v>220</v>
      </c>
    </row>
    <row r="45" spans="1:3" x14ac:dyDescent="0.25">
      <c r="B45" t="s">
        <v>11</v>
      </c>
      <c r="C45">
        <v>32</v>
      </c>
    </row>
    <row r="46" spans="1:3" x14ac:dyDescent="0.25">
      <c r="B46" t="s">
        <v>6</v>
      </c>
      <c r="C46">
        <v>500</v>
      </c>
    </row>
    <row r="47" spans="1:3" x14ac:dyDescent="0.25">
      <c r="B47" t="s">
        <v>3</v>
      </c>
      <c r="C47">
        <v>1800</v>
      </c>
    </row>
    <row r="48" spans="1:3" x14ac:dyDescent="0.25">
      <c r="B48" t="s">
        <v>4</v>
      </c>
      <c r="C48">
        <v>700</v>
      </c>
    </row>
    <row r="49" spans="1:3" x14ac:dyDescent="0.25">
      <c r="A49">
        <v>9</v>
      </c>
      <c r="B49" t="s">
        <v>12</v>
      </c>
      <c r="C49">
        <v>20</v>
      </c>
    </row>
    <row r="50" spans="1:3" x14ac:dyDescent="0.25">
      <c r="B50" t="s">
        <v>20</v>
      </c>
      <c r="C50">
        <v>1</v>
      </c>
    </row>
    <row r="51" spans="1:3" x14ac:dyDescent="0.25">
      <c r="B51" t="s">
        <v>11</v>
      </c>
      <c r="C51">
        <v>89</v>
      </c>
    </row>
    <row r="52" spans="1:3" x14ac:dyDescent="0.25">
      <c r="B52" t="s">
        <v>3</v>
      </c>
      <c r="C52">
        <v>60</v>
      </c>
    </row>
    <row r="53" spans="1:3" x14ac:dyDescent="0.25">
      <c r="B53" t="s">
        <v>4</v>
      </c>
      <c r="C53">
        <v>70</v>
      </c>
    </row>
    <row r="54" spans="1:3" x14ac:dyDescent="0.25">
      <c r="A54" t="s">
        <v>17</v>
      </c>
      <c r="C54">
        <f>SUM(C7:C53)</f>
        <v>15305</v>
      </c>
    </row>
  </sheetData>
  <sortState xmlns:xlrd2="http://schemas.microsoft.com/office/spreadsheetml/2017/richdata2" ref="B49:C53">
    <sortCondition ref="B49:B53"/>
  </sortState>
  <mergeCells count="9">
    <mergeCell ref="A4:B4"/>
    <mergeCell ref="C4:D4"/>
    <mergeCell ref="A1:D1"/>
    <mergeCell ref="E1:F1"/>
    <mergeCell ref="A2:B2"/>
    <mergeCell ref="C2:D2"/>
    <mergeCell ref="E2:F2"/>
    <mergeCell ref="A3:B3"/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E2C3-B891-4C11-94F1-3F8E78E4FF45}">
  <dimension ref="A1:F45"/>
  <sheetViews>
    <sheetView topLeftCell="A30" workbookViewId="0">
      <selection activeCell="C46" sqref="C46"/>
    </sheetView>
  </sheetViews>
  <sheetFormatPr defaultRowHeight="15" x14ac:dyDescent="0.25"/>
  <cols>
    <col min="1" max="1" width="12.5703125" customWidth="1"/>
  </cols>
  <sheetData>
    <row r="1" spans="1:6" x14ac:dyDescent="0.25">
      <c r="A1" s="3" t="s">
        <v>54</v>
      </c>
      <c r="B1" s="3"/>
      <c r="C1" s="3"/>
      <c r="D1" s="3"/>
      <c r="E1" s="3" t="s">
        <v>46</v>
      </c>
      <c r="F1" s="3"/>
    </row>
    <row r="2" spans="1:6" x14ac:dyDescent="0.25">
      <c r="A2" s="3" t="s">
        <v>28</v>
      </c>
      <c r="B2" s="3"/>
      <c r="C2" s="3" t="s">
        <v>59</v>
      </c>
      <c r="D2" s="3"/>
      <c r="E2" s="3" t="s">
        <v>47</v>
      </c>
      <c r="F2" s="3"/>
    </row>
    <row r="3" spans="1:6" x14ac:dyDescent="0.25">
      <c r="A3" s="3" t="s">
        <v>55</v>
      </c>
      <c r="B3" s="3"/>
      <c r="C3" s="3" t="s">
        <v>56</v>
      </c>
      <c r="D3" s="3"/>
    </row>
    <row r="4" spans="1:6" x14ac:dyDescent="0.25">
      <c r="A4" s="3" t="s">
        <v>57</v>
      </c>
      <c r="B4" s="3"/>
      <c r="C4" s="3" t="s">
        <v>58</v>
      </c>
      <c r="D4" s="3"/>
    </row>
    <row r="6" spans="1:6" x14ac:dyDescent="0.25">
      <c r="A6" s="2" t="s">
        <v>0</v>
      </c>
      <c r="B6" s="2" t="s">
        <v>1</v>
      </c>
      <c r="C6" s="2" t="s">
        <v>2</v>
      </c>
    </row>
    <row r="7" spans="1:6" x14ac:dyDescent="0.25">
      <c r="A7">
        <v>1</v>
      </c>
      <c r="B7" t="s">
        <v>13</v>
      </c>
      <c r="C7">
        <v>120</v>
      </c>
    </row>
    <row r="8" spans="1:6" x14ac:dyDescent="0.25">
      <c r="B8" t="s">
        <v>12</v>
      </c>
      <c r="C8">
        <v>44</v>
      </c>
    </row>
    <row r="9" spans="1:6" x14ac:dyDescent="0.25">
      <c r="B9" t="s">
        <v>5</v>
      </c>
      <c r="C9">
        <v>4</v>
      </c>
    </row>
    <row r="10" spans="1:6" x14ac:dyDescent="0.25">
      <c r="B10" t="s">
        <v>11</v>
      </c>
      <c r="C10">
        <v>13</v>
      </c>
    </row>
    <row r="11" spans="1:6" x14ac:dyDescent="0.25">
      <c r="B11" t="s">
        <v>6</v>
      </c>
      <c r="C11">
        <v>1040</v>
      </c>
    </row>
    <row r="12" spans="1:6" x14ac:dyDescent="0.25">
      <c r="B12" t="s">
        <v>10</v>
      </c>
      <c r="C12">
        <v>2</v>
      </c>
    </row>
    <row r="13" spans="1:6" x14ac:dyDescent="0.25">
      <c r="B13" t="s">
        <v>3</v>
      </c>
      <c r="C13">
        <v>1760</v>
      </c>
    </row>
    <row r="14" spans="1:6" x14ac:dyDescent="0.25">
      <c r="B14" t="s">
        <v>4</v>
      </c>
      <c r="C14">
        <v>570</v>
      </c>
    </row>
    <row r="15" spans="1:6" x14ac:dyDescent="0.25">
      <c r="A15">
        <v>3</v>
      </c>
      <c r="B15" t="s">
        <v>13</v>
      </c>
      <c r="C15">
        <v>50</v>
      </c>
    </row>
    <row r="16" spans="1:6" x14ac:dyDescent="0.25">
      <c r="B16" t="s">
        <v>12</v>
      </c>
      <c r="C16">
        <v>20</v>
      </c>
    </row>
    <row r="17" spans="1:3" x14ac:dyDescent="0.25">
      <c r="B17" t="s">
        <v>6</v>
      </c>
      <c r="C17">
        <v>70</v>
      </c>
    </row>
    <row r="18" spans="1:3" x14ac:dyDescent="0.25">
      <c r="B18" t="s">
        <v>10</v>
      </c>
      <c r="C18">
        <v>6</v>
      </c>
    </row>
    <row r="19" spans="1:3" x14ac:dyDescent="0.25">
      <c r="B19" t="s">
        <v>60</v>
      </c>
      <c r="C19">
        <v>80</v>
      </c>
    </row>
    <row r="20" spans="1:3" x14ac:dyDescent="0.25">
      <c r="B20" t="s">
        <v>3</v>
      </c>
      <c r="C20">
        <v>90</v>
      </c>
    </row>
    <row r="21" spans="1:3" x14ac:dyDescent="0.25">
      <c r="A21">
        <v>4</v>
      </c>
      <c r="B21" t="s">
        <v>13</v>
      </c>
      <c r="C21">
        <v>70</v>
      </c>
    </row>
    <row r="22" spans="1:3" x14ac:dyDescent="0.25">
      <c r="B22" t="s">
        <v>12</v>
      </c>
      <c r="C22">
        <v>30</v>
      </c>
    </row>
    <row r="23" spans="1:3" x14ac:dyDescent="0.25">
      <c r="B23" t="s">
        <v>5</v>
      </c>
      <c r="C23">
        <v>8</v>
      </c>
    </row>
    <row r="24" spans="1:3" x14ac:dyDescent="0.25">
      <c r="B24" t="s">
        <v>6</v>
      </c>
      <c r="C24">
        <v>460</v>
      </c>
    </row>
    <row r="25" spans="1:3" x14ac:dyDescent="0.25">
      <c r="B25" t="s">
        <v>10</v>
      </c>
      <c r="C25">
        <v>4</v>
      </c>
    </row>
    <row r="26" spans="1:3" x14ac:dyDescent="0.25">
      <c r="B26" t="s">
        <v>3</v>
      </c>
      <c r="C26">
        <v>1720</v>
      </c>
    </row>
    <row r="27" spans="1:3" x14ac:dyDescent="0.25">
      <c r="B27" t="s">
        <v>4</v>
      </c>
      <c r="C27">
        <v>590</v>
      </c>
    </row>
    <row r="28" spans="1:3" x14ac:dyDescent="0.25">
      <c r="B28" t="s">
        <v>22</v>
      </c>
      <c r="C28">
        <v>2</v>
      </c>
    </row>
    <row r="29" spans="1:3" x14ac:dyDescent="0.25">
      <c r="B29" t="s">
        <v>14</v>
      </c>
      <c r="C29">
        <v>117</v>
      </c>
    </row>
    <row r="30" spans="1:3" x14ac:dyDescent="0.25">
      <c r="A30">
        <v>6</v>
      </c>
      <c r="B30" t="s">
        <v>10</v>
      </c>
      <c r="C30">
        <v>2</v>
      </c>
    </row>
    <row r="31" spans="1:3" x14ac:dyDescent="0.25">
      <c r="B31" t="s">
        <v>3</v>
      </c>
      <c r="C31">
        <v>190</v>
      </c>
    </row>
    <row r="32" spans="1:3" x14ac:dyDescent="0.25">
      <c r="B32" t="s">
        <v>23</v>
      </c>
      <c r="C32">
        <v>1</v>
      </c>
    </row>
    <row r="33" spans="1:3" x14ac:dyDescent="0.25">
      <c r="A33">
        <v>7</v>
      </c>
      <c r="B33" t="s">
        <v>13</v>
      </c>
      <c r="C33">
        <v>30</v>
      </c>
    </row>
    <row r="34" spans="1:3" x14ac:dyDescent="0.25">
      <c r="B34" t="s">
        <v>12</v>
      </c>
      <c r="C34">
        <v>130</v>
      </c>
    </row>
    <row r="35" spans="1:3" x14ac:dyDescent="0.25">
      <c r="B35" t="s">
        <v>61</v>
      </c>
      <c r="C35">
        <v>2</v>
      </c>
    </row>
    <row r="36" spans="1:3" x14ac:dyDescent="0.25">
      <c r="B36" t="s">
        <v>5</v>
      </c>
      <c r="C36">
        <v>2</v>
      </c>
    </row>
    <row r="37" spans="1:3" x14ac:dyDescent="0.25">
      <c r="B37" t="s">
        <v>7</v>
      </c>
      <c r="C37">
        <v>4</v>
      </c>
    </row>
    <row r="38" spans="1:3" x14ac:dyDescent="0.25">
      <c r="B38" t="s">
        <v>6</v>
      </c>
      <c r="C38">
        <v>700</v>
      </c>
    </row>
    <row r="39" spans="1:3" x14ac:dyDescent="0.25">
      <c r="B39" t="s">
        <v>10</v>
      </c>
      <c r="C39">
        <v>2</v>
      </c>
    </row>
    <row r="40" spans="1:3" x14ac:dyDescent="0.25">
      <c r="B40" t="s">
        <v>3</v>
      </c>
      <c r="C40">
        <v>1450</v>
      </c>
    </row>
    <row r="41" spans="1:3" x14ac:dyDescent="0.25">
      <c r="B41" t="s">
        <v>4</v>
      </c>
      <c r="C41">
        <v>750</v>
      </c>
    </row>
    <row r="42" spans="1:3" x14ac:dyDescent="0.25">
      <c r="A42">
        <v>9</v>
      </c>
      <c r="B42" t="s">
        <v>12</v>
      </c>
      <c r="C42">
        <v>10</v>
      </c>
    </row>
    <row r="43" spans="1:3" x14ac:dyDescent="0.25">
      <c r="B43" t="s">
        <v>6</v>
      </c>
      <c r="C43">
        <v>20</v>
      </c>
    </row>
    <row r="44" spans="1:3" x14ac:dyDescent="0.25">
      <c r="B44" t="s">
        <v>4</v>
      </c>
      <c r="C44">
        <v>190</v>
      </c>
    </row>
    <row r="45" spans="1:3" x14ac:dyDescent="0.25">
      <c r="A45" t="s">
        <v>17</v>
      </c>
      <c r="C45">
        <f>SUM(C7:C44)</f>
        <v>10353</v>
      </c>
    </row>
  </sheetData>
  <sortState xmlns:xlrd2="http://schemas.microsoft.com/office/spreadsheetml/2017/richdata2" ref="B42:C44">
    <sortCondition ref="B42:B44"/>
  </sortState>
  <mergeCells count="9">
    <mergeCell ref="A4:B4"/>
    <mergeCell ref="C4:D4"/>
    <mergeCell ref="A1:D1"/>
    <mergeCell ref="E1:F1"/>
    <mergeCell ref="A2:B2"/>
    <mergeCell ref="C2:D2"/>
    <mergeCell ref="E2:F2"/>
    <mergeCell ref="A3:B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12.29.22</vt:lpstr>
      <vt:lpstr>1.27.23</vt:lpstr>
      <vt:lpstr>2.2.23</vt:lpstr>
      <vt:lpstr>2.9.23</vt:lpstr>
      <vt:lpstr>2.16.23</vt:lpstr>
      <vt:lpstr>2.23.23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Bentz, Rachel@Wildlife</dc:creator>
  <cp:lastModifiedBy>Bentz, Rachel@Wildlife</cp:lastModifiedBy>
  <dcterms:created xsi:type="dcterms:W3CDTF">2023-01-24T17:52:22Z</dcterms:created>
  <dcterms:modified xsi:type="dcterms:W3CDTF">2023-02-23T21:32:19Z</dcterms:modified>
</cp:coreProperties>
</file>